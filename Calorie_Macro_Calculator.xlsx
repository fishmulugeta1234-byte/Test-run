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<sst xmlns="http://schemas.openxmlformats.org/spreadsheetml/2006/main" count="45" uniqueCount="40">
  <si>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SIMON ORIGIN TRANSFORMATION</t>
  </si>
  <si>
    <t xml:space="preserve">Calorie &amp; Macro Calculator</t>
  </si>
  <si>
    <t xml:space="preserve">Fill in the yellow cells only. Results update automatically.</t>
  </si>
  <si>
    <t xml:space="preserve">ቢጫ ቀለም ያላቸውን ሴሎች ብቻ ይሙሉ። ውጤቶቹ ራሳቸውን በራሳቸው ያሰላሉ።</t>
  </si>
  <si>
    <t xml:space="preserve">CLIENT INPUTS</t>
  </si>
  <si>
    <t xml:space="preserve">REFERENCE TABLES</t>
  </si>
  <si>
    <t xml:space="preserve">Client Name</t>
  </si>
  <si>
    <t xml:space="preserve">Activity Level</t>
  </si>
  <si>
    <t xml:space="preserve">Multiplier</t>
  </si>
  <si>
    <t xml:space="preserve">Primary Goal</t>
  </si>
  <si>
    <t xml:space="preserve">Adjustment</t>
  </si>
  <si>
    <t xml:space="preserve">Gender</t>
  </si>
  <si>
    <t xml:space="preserve">Male</t>
  </si>
  <si>
    <t xml:space="preserve">Sedentary</t>
  </si>
  <si>
    <t xml:space="preserve">Fat Loss</t>
  </si>
  <si>
    <t xml:space="preserve">Age (years)</t>
  </si>
  <si>
    <t xml:space="preserve">Lightly Active</t>
  </si>
  <si>
    <t xml:space="preserve">Muscle Gain</t>
  </si>
  <si>
    <t xml:space="preserve">Height (cm)</t>
  </si>
  <si>
    <t xml:space="preserve">Moderate</t>
  </si>
  <si>
    <t xml:space="preserve">Maintenance</t>
  </si>
  <si>
    <t xml:space="preserve">Weight (kg)</t>
  </si>
  <si>
    <t xml:space="preserve">Very Active</t>
  </si>
  <si>
    <t xml:space="preserve">CALCULATED TARGETS</t>
  </si>
  <si>
    <t xml:space="preserve">BMR (Mifflin-St Jeor)</t>
  </si>
  <si>
    <t xml:space="preserve">TDEE (Maintenance Calories)</t>
  </si>
  <si>
    <t xml:space="preserve">Goal-Adjusted Daily Calories</t>
  </si>
  <si>
    <t xml:space="preserve">Weekly Calorie Total</t>
  </si>
  <si>
    <t xml:space="preserve">Protein Target (g)  — 2.0g/kg</t>
  </si>
  <si>
    <t xml:space="preserve">Protein Calories</t>
  </si>
  <si>
    <t xml:space="preserve">Fat Target (g)  — 25% of calories</t>
  </si>
  <si>
    <t xml:space="preserve">Fat Calories</t>
  </si>
  <si>
    <t xml:space="preserve">Carbohydrate Target (g)  — remainder</t>
  </si>
  <si>
    <t xml:space="preserve">Daily Fluid Target (L)  — 0.05L/kg</t>
  </si>
  <si>
    <t xml:space="preserve">% ENERGY SPLIT (for the blueprint doc)</t>
  </si>
  <si>
    <t xml:space="preserve">Protein % of Energy</t>
  </si>
  <si>
    <t xml:space="preserve">Fat % of Energy</t>
  </si>
  <si>
    <t xml:space="preserve">Carb % of Energy</t>
  </si>
  <si>
    <t xml:space="preserve">Copy the bold values above directly into the Calorie &amp; Macro Targets table</t>
  </si>
  <si>
    <t xml:space="preserve">in the 30-Day Nutrition Blueprint doc.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</si>
</sst>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C9A24B"/>
        <bgColor rgb="FFFF9900"/>
      </patternFill>
    </fill>
    <fill>
      <patternFill patternType="solid">
        <fgColor rgb="FFFFF9C4"/>
        <bgColor rgb="FFFFFF99"/>
      </patternFill>
    </fill>
    <fill>
      <patternFill patternType="solid">
        <fgColor rgb="FFF4F1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FF9C4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C9A24B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2" customFormat="false" ht="18.5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7" customFormat="false" ht="15" hidden="false" customHeight="false" outlineLevel="0" collapsed="false">
      <c r="B7" s="4" t="s">
        <v>4</v>
      </c>
      <c r="E7" s="4" t="s">
        <v>5</v>
      </c>
    </row>
    <row r="8" customFormat="false" ht="15" hidden="false" customHeight="false" outlineLevel="0" collapsed="false">
      <c r="B8" s="5" t="s">
        <v>6</v>
      </c>
      <c r="C8" s="6" t="s">
        <v>6</v>
      </c>
      <c r="E8" s="5" t="s">
        <v>7</v>
      </c>
      <c r="F8" s="5" t="s">
        <v>8</v>
      </c>
      <c r="G8" s="5" t="s">
        <v>9</v>
      </c>
      <c r="H8" s="5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  <c r="E9" s="7" t="s">
        <v>13</v>
      </c>
      <c r="F9" s="7" t="n">
        <v>1.2</v>
      </c>
      <c r="G9" s="7" t="s">
        <v>14</v>
      </c>
      <c r="H9" s="8" t="n">
        <v>-0.2</v>
      </c>
    </row>
    <row r="10" customFormat="false" ht="15" hidden="false" customHeight="false" outlineLevel="0" collapsed="false">
      <c r="B10" s="5" t="s">
        <v>15</v>
      </c>
      <c r="C10" s="9" t="n">
        <v>30</v>
      </c>
      <c r="E10" s="7" t="s">
        <v>16</v>
      </c>
      <c r="F10" s="7" t="n">
        <v>1.375</v>
      </c>
      <c r="G10" s="7" t="s">
        <v>17</v>
      </c>
      <c r="H10" s="8" t="n">
        <v>0.15</v>
      </c>
    </row>
    <row r="11" customFormat="false" ht="15" hidden="false" customHeight="false" outlineLevel="0" collapsed="false">
      <c r="B11" s="5" t="s">
        <v>18</v>
      </c>
      <c r="C11" s="9" t="n">
        <v>175</v>
      </c>
      <c r="E11" s="7" t="s">
        <v>19</v>
      </c>
      <c r="F11" s="7" t="n">
        <v>1.55</v>
      </c>
      <c r="G11" s="7" t="s">
        <v>20</v>
      </c>
      <c r="H11" s="8" t="n">
        <v>0</v>
      </c>
    </row>
    <row r="12" customFormat="false" ht="15" hidden="false" customHeight="false" outlineLevel="0" collapsed="false">
      <c r="B12" s="5" t="s">
        <v>21</v>
      </c>
      <c r="C12" s="10" t="n">
        <v>70</v>
      </c>
      <c r="E12" s="7" t="s">
        <v>22</v>
      </c>
      <c r="F12" s="7" t="n">
        <v>1.725</v>
      </c>
    </row>
    <row r="13" customFormat="false" ht="15" hidden="false" customHeight="false" outlineLevel="0" collapsed="false">
      <c r="B13" s="5" t="s">
        <v>7</v>
      </c>
      <c r="C13" s="6" t="s">
        <v>19</v>
      </c>
    </row>
    <row r="14" customFormat="false" ht="15" hidden="false" customHeight="false" outlineLevel="0" collapsed="false">
      <c r="B14" s="5" t="s">
        <v>9</v>
      </c>
      <c r="C14" s="6" t="s">
        <v>14</v>
      </c>
    </row>
    <row r="16" customFormat="false" ht="15" hidden="false" customHeight="false" outlineLevel="0" collapsed="false">
      <c r="B16" s="4" t="s">
        <v>23</v>
      </c>
    </row>
    <row r="17" customFormat="false" ht="15" hidden="false" customHeight="false" outlineLevel="0" collapsed="false">
      <c r="B17" s="5" t="s">
        <v>24</v>
      </c>
      <c r="C17" s="11" t="n">
        <f aca="false">IF(C9="Male", 10*C12+6.25*C11-5*C10+5, 10*C12+6.25*C11-5*C10-161)</f>
        <v>1648.75</v>
      </c>
    </row>
    <row r="18" customFormat="false" ht="15" hidden="false" customHeight="false" outlineLevel="0" collapsed="false">
      <c r="B18" s="5" t="s">
        <v>25</v>
      </c>
      <c r="C18" s="11" t="n">
        <f aca="false">C17*INDEX($F$9:$F$12,MATCH(C13,$E$9:$E$12,0))</f>
        <v>2555.5625</v>
      </c>
    </row>
    <row r="19" customFormat="false" ht="15" hidden="false" customHeight="false" outlineLevel="0" collapsed="false">
      <c r="B19" s="5" t="s">
        <v>26</v>
      </c>
      <c r="C19" s="12" t="n">
        <f aca="false">C18*(1+INDEX($H$9:$H$11,MATCH(C14,$G$9:$G$11,0)))</f>
        <v>2044.45</v>
      </c>
    </row>
    <row r="20" customFormat="false" ht="15" hidden="false" customHeight="false" outlineLevel="0" collapsed="false">
      <c r="B20" s="5" t="s">
        <v>27</v>
      </c>
      <c r="C20" s="11" t="n">
        <f aca="false">C19*7</f>
        <v>14311.15</v>
      </c>
    </row>
    <row r="21" customFormat="false" ht="15" hidden="false" customHeight="false" outlineLevel="0" collapsed="false">
      <c r="B21" s="5" t="s">
        <v>28</v>
      </c>
      <c r="C21" s="11" t="n">
        <f aca="false">C12*2</f>
        <v>140</v>
      </c>
    </row>
    <row r="22" customFormat="false" ht="15" hidden="false" customHeight="false" outlineLevel="0" collapsed="false">
      <c r="B22" s="5" t="s">
        <v>29</v>
      </c>
      <c r="C22" s="11" t="n">
        <f aca="false">C21*4</f>
        <v>560</v>
      </c>
    </row>
    <row r="23" customFormat="false" ht="15" hidden="false" customHeight="false" outlineLevel="0" collapsed="false">
      <c r="B23" s="5" t="s">
        <v>30</v>
      </c>
      <c r="C23" s="11" t="n">
        <f aca="false">(C19*0.25)/9</f>
        <v>56.7902777777778</v>
      </c>
    </row>
    <row r="24" customFormat="false" ht="15" hidden="false" customHeight="false" outlineLevel="0" collapsed="false">
      <c r="B24" s="5" t="s">
        <v>31</v>
      </c>
      <c r="C24" s="11" t="n">
        <f aca="false">C23*9</f>
        <v>511.1125</v>
      </c>
    </row>
    <row r="25" customFormat="false" ht="15" hidden="false" customHeight="false" outlineLevel="0" collapsed="false">
      <c r="B25" s="5" t="s">
        <v>32</v>
      </c>
      <c r="C25" s="12" t="n">
        <f aca="false">(C19-C22-C24)/4</f>
        <v>243.334375</v>
      </c>
    </row>
    <row r="26" customFormat="false" ht="15" hidden="false" customHeight="false" outlineLevel="0" collapsed="false">
      <c r="B26" s="5" t="s">
        <v>33</v>
      </c>
      <c r="C26" s="13" t="n">
        <f aca="false">C12*0.05</f>
        <v>3.5</v>
      </c>
    </row>
    <row r="28" customFormat="false" ht="15" hidden="false" customHeight="false" outlineLevel="0" collapsed="false">
      <c r="B28" s="5" t="s">
        <v>34</v>
      </c>
    </row>
    <row r="29" customFormat="false" ht="15" hidden="false" customHeight="false" outlineLevel="0" collapsed="false">
      <c r="B29" s="5" t="s">
        <v>35</v>
      </c>
      <c r="C29" s="14" t="n">
        <f aca="false">C22/C19</f>
        <v>0.273912299151361</v>
      </c>
    </row>
    <row r="30" customFormat="false" ht="15" hidden="false" customHeight="false" outlineLevel="0" collapsed="false">
      <c r="B30" s="5" t="s">
        <v>36</v>
      </c>
      <c r="C30" s="14" t="n">
        <f aca="false">C24/C19</f>
        <v>0.25</v>
      </c>
    </row>
    <row r="31" customFormat="false" ht="15" hidden="false" customHeight="false" outlineLevel="0" collapsed="false">
      <c r="B31" s="5" t="s">
        <v>37</v>
      </c>
      <c r="C31" s="14" t="n">
        <f aca="false">1-C29-C30</f>
        <v>0.476087700848639</v>
      </c>
    </row>
    <row r="33" customFormat="false" ht="15" hidden="false" customHeight="false" outlineLevel="0" collapsed="false">
      <c r="B33" s="3" t="s">
        <v>38</v>
      </c>
    </row>
    <row r="34" customFormat="false" ht="15" hidden="false" customHeight="false" outlineLevel="0" collapsed="false">
      <c r="B34" s="3" t="s">
        <v>39</v>
      </c>
    </row>
  </sheetData>
  <mergeCells count="2">
    <mergeCell ref="B2:C2"/>
    <mergeCell ref="B3:C3"/>
  </mergeCells>
  <dataValidations count="3">
    <dataValidation allowBlank="false" errorStyle="stop" operator="between" showDropDown="false" showErrorMessage="false" showInputMessage="false" sqref="C9" type="list">
      <formula1>"Male,Female"</formula1>
      <formula2>0</formula2>
    </dataValidation>
    <dataValidation allowBlank="false" errorStyle="stop" operator="between" showDropDown="false" showErrorMessage="false" showInputMessage="false" sqref="C13" type="list">
      <formula1>"Sedentary,Lightly Active,Moderate,Very Active"</formula1>
      <formula2>0</formula2>
    </dataValidation>
    <dataValidation allowBlank="false" errorStyle="stop" operator="between" showDropDown="false" showErrorMessage="false" showInputMessage="false" sqref="C14" type="list">
      <formula1>"Fat Loss,Muscle Gain,Maintenance"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2026-08-13T18:58:07Z</dcterms:created>
  <dc:creator>openpyxl</dc:creator>
  <dc:description/>
  <dc:language>en-US</dc:language>
  <cp:lastModifiedBy/>
  <dcterms:modified xsi:type="dcterms:W3CDTF">2026-08-13T18:58:07Z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