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Bot Calculator" sheetId="1" state="visible" r:id="rId1"/>
    <sheet xmlns:r="http://schemas.openxmlformats.org/officeDocument/2006/relationships" name="Calculator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"/>
  </numFmts>
  <fonts count="1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5"/>
    </font>
    <font>
      <name val="Arial"/>
      <charset val="1"/>
      <family val="0"/>
      <b val="1"/>
      <color rgb="FF1F2A44"/>
      <sz val="12"/>
    </font>
    <font>
      <name val="Arial"/>
      <charset val="1"/>
      <family val="0"/>
      <i val="1"/>
      <color rgb="FF6B6B6B"/>
      <sz val="9"/>
    </font>
    <font>
      <name val="Arial"/>
      <charset val="1"/>
      <family val="0"/>
      <b val="1"/>
      <color rgb="FF1F2A44"/>
      <sz val="11"/>
    </font>
    <font>
      <name val="Arial"/>
      <charset val="1"/>
      <family val="0"/>
      <color rgb="FF0000FF"/>
      <sz val="11"/>
    </font>
    <font>
      <name val="Arial"/>
      <charset val="1"/>
      <family val="0"/>
      <sz val="10"/>
    </font>
    <font>
      <name val="Arial"/>
      <charset val="1"/>
      <family val="0"/>
      <color rgb="FF000000"/>
      <sz val="11"/>
    </font>
    <font>
      <name val="Arial"/>
      <charset val="1"/>
      <family val="0"/>
      <b val="1"/>
      <color rgb="FF000000"/>
      <sz val="11"/>
    </font>
  </fonts>
  <fills count="6">
    <fill>
      <patternFill/>
    </fill>
    <fill>
      <patternFill patternType="gray125"/>
    </fill>
    <fill>
      <patternFill patternType="solid">
        <fgColor rgb="FF1F2A44"/>
        <bgColor rgb="FF003366"/>
      </patternFill>
    </fill>
    <fill>
      <patternFill patternType="solid">
        <fgColor rgb="FFC9A24B"/>
        <bgColor rgb="FFFF9900"/>
      </patternFill>
    </fill>
    <fill>
      <patternFill patternType="solid">
        <fgColor rgb="FFFFF9C4"/>
        <bgColor rgb="FFFFFF99"/>
      </patternFill>
    </fill>
    <fill>
      <patternFill patternType="solid">
        <fgColor rgb="FFF4F1EA"/>
        <bgColor rgb="FFFFFFFF"/>
      </patternFill>
    </fill>
  </fills>
  <borders count="2">
    <border>
      <left/>
      <right/>
      <top/>
      <bottom/>
      <diagonal/>
    </border>
    <border>
      <left style="thin">
        <color rgb="FFD9D3C7"/>
      </left>
      <right style="thin">
        <color rgb="FFD9D3C7"/>
      </right>
      <top style="thin">
        <color rgb="FFD9D3C7"/>
      </top>
      <bottom style="thin">
        <color rgb="FFD9D3C7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1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4" borderId="1" applyAlignment="1" pivotButton="0" quotePrefix="0" xfId="0">
      <alignment horizontal="left" vertical="center"/>
    </xf>
    <xf numFmtId="0" fontId="9" fillId="0" borderId="0" applyAlignment="1" pivotButton="0" quotePrefix="0" xfId="0">
      <alignment horizontal="general" vertical="bottom"/>
    </xf>
    <xf numFmtId="9" fontId="9" fillId="0" borderId="0" applyAlignment="1" pivotButton="0" quotePrefix="0" xfId="0">
      <alignment horizontal="general" vertical="bottom"/>
    </xf>
    <xf numFmtId="1" fontId="8" fillId="4" borderId="1" applyAlignment="1" pivotButton="0" quotePrefix="0" xfId="0">
      <alignment horizontal="left" vertical="center"/>
    </xf>
    <xf numFmtId="164" fontId="8" fillId="4" borderId="1" applyAlignment="1" pivotButton="0" quotePrefix="0" xfId="0">
      <alignment horizontal="left" vertical="center"/>
    </xf>
    <xf numFmtId="1" fontId="10" fillId="5" borderId="1" applyAlignment="1" pivotButton="0" quotePrefix="0" xfId="0">
      <alignment horizontal="left" vertical="center"/>
    </xf>
    <xf numFmtId="1" fontId="11" fillId="5" borderId="1" applyAlignment="1" pivotButton="0" quotePrefix="0" xfId="0">
      <alignment horizontal="left" vertical="center"/>
    </xf>
    <xf numFmtId="164" fontId="10" fillId="5" borderId="1" applyAlignment="1" pivotButton="0" quotePrefix="0" xfId="0">
      <alignment horizontal="left" vertical="center"/>
    </xf>
    <xf numFmtId="9" fontId="10" fillId="5" borderId="1" applyAlignment="1" pivotButton="0" quotePrefix="0" xfId="0">
      <alignment horizontal="left" vertical="center"/>
    </xf>
    <xf numFmtId="0" fontId="0" fillId="0" borderId="0" pivotButton="0" quotePrefix="0" xfId="0"/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4" borderId="1" applyAlignment="1" pivotButton="0" quotePrefix="0" xfId="0">
      <alignment horizontal="left" vertical="center"/>
    </xf>
    <xf numFmtId="0" fontId="9" fillId="0" borderId="0" applyAlignment="1" pivotButton="0" quotePrefix="0" xfId="0">
      <alignment horizontal="general" vertical="bottom"/>
    </xf>
    <xf numFmtId="9" fontId="9" fillId="0" borderId="0" applyAlignment="1" pivotButton="0" quotePrefix="0" xfId="0">
      <alignment horizontal="general" vertical="bottom"/>
    </xf>
    <xf numFmtId="1" fontId="8" fillId="4" borderId="1" applyAlignment="1" pivotButton="0" quotePrefix="0" xfId="0">
      <alignment horizontal="left" vertical="center"/>
    </xf>
    <xf numFmtId="164" fontId="8" fillId="4" borderId="1" applyAlignment="1" pivotButton="0" quotePrefix="0" xfId="0">
      <alignment horizontal="left" vertical="center"/>
    </xf>
    <xf numFmtId="1" fontId="10" fillId="5" borderId="1" applyAlignment="1" pivotButton="0" quotePrefix="0" xfId="0">
      <alignment horizontal="left" vertical="center"/>
    </xf>
    <xf numFmtId="1" fontId="11" fillId="5" borderId="1" applyAlignment="1" pivotButton="0" quotePrefix="0" xfId="0">
      <alignment horizontal="left" vertical="center"/>
    </xf>
    <xf numFmtId="164" fontId="10" fillId="5" borderId="1" applyAlignment="1" pivotButton="0" quotePrefix="0" xfId="0">
      <alignment horizontal="left" vertical="center"/>
    </xf>
    <xf numFmtId="9" fontId="10" fillId="5" borderId="1" applyAlignment="1" pivotButton="0" quotePrefix="0" xfId="0">
      <alignment horizontal="left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3C7"/>
      <rgbColor rgb="FF808080"/>
      <rgbColor rgb="FF9999FF"/>
      <rgbColor rgb="FF993366"/>
      <rgbColor rgb="FFFFF9C4"/>
      <rgbColor rgb="FFF4F1E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6B6B"/>
      <rgbColor rgb="FFC9A24B"/>
      <rgbColor rgb="FF003366"/>
      <rgbColor rgb="FF339966"/>
      <rgbColor rgb="FF003300"/>
      <rgbColor rgb="FF333300"/>
      <rgbColor rgb="FF993300"/>
      <rgbColor rgb="FF993366"/>
      <rgbColor rgb="FF333399"/>
      <rgbColor rgb="FF1F2A44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0" customWidth="1" style="15" min="1" max="1"/>
    <col width="70" customWidth="1" style="15" min="2" max="2"/>
  </cols>
  <sheetData>
    <row r="1">
      <c r="A1" t="inlineStr">
        <is>
          <t>Simon Origin Macro Calculator</t>
        </is>
      </c>
      <c r="B1" t="inlineStr"/>
    </row>
    <row r="2">
      <c r="A2" t="inlineStr">
        <is>
          <t>Input / Output</t>
        </is>
      </c>
      <c r="B2" t="inlineStr">
        <is>
          <t>Value</t>
        </is>
      </c>
    </row>
    <row r="3">
      <c r="A3" t="inlineStr">
        <is>
          <t>Weight (kg)</t>
        </is>
      </c>
      <c r="B3" t="n">
        <v>70</v>
      </c>
    </row>
    <row r="4">
      <c r="A4" t="inlineStr">
        <is>
          <t>Activity Multiplier</t>
        </is>
      </c>
      <c r="B4" t="n">
        <v>1.55</v>
      </c>
    </row>
    <row r="5">
      <c r="A5" t="inlineStr">
        <is>
          <t>Calories</t>
        </is>
      </c>
      <c r="B5">
        <f>ROUND(B3*24*B4,0)</f>
        <v/>
      </c>
    </row>
    <row r="6">
      <c r="A6" t="inlineStr">
        <is>
          <t>Protein (g)</t>
        </is>
      </c>
      <c r="B6">
        <f>ROUND(B3*2,0)</f>
        <v/>
      </c>
    </row>
    <row r="7">
      <c r="A7" t="inlineStr">
        <is>
          <t>Fat (g)</t>
        </is>
      </c>
      <c r="B7">
        <f>ROUND(B3*0.9,0)</f>
        <v/>
      </c>
    </row>
    <row r="8">
      <c r="A8" t="inlineStr">
        <is>
          <t>Carbs (g)</t>
        </is>
      </c>
      <c r="B8">
        <f>ROUND((B5-(B6*4)-(B7*9))/4,0)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B2:H3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16" min="1" max="1"/>
    <col width="40" customWidth="1" style="16" min="2" max="2"/>
    <col width="16" customWidth="1" style="16" min="3" max="3"/>
    <col width="3" customWidth="1" style="16" min="4" max="4"/>
    <col width="18" customWidth="1" style="16" min="5" max="5"/>
    <col width="12" customWidth="1" style="16" min="6" max="6"/>
    <col width="16" customWidth="1" style="16" min="7" max="7"/>
    <col width="12" customWidth="1" style="16" min="8" max="8"/>
  </cols>
  <sheetData>
    <row r="2" ht="18.55" customHeight="1" s="15">
      <c r="B2" s="17" t="inlineStr">
        <is>
          <t>SIMON ORIGIN TRANSFORMATION</t>
        </is>
      </c>
    </row>
    <row r="3" ht="15" customHeight="1" s="15">
      <c r="B3" s="18" t="inlineStr">
        <is>
          <t>Calorie &amp; Macro Calculator</t>
        </is>
      </c>
    </row>
    <row r="4" ht="15" customHeight="1" s="15">
      <c r="B4" s="19" t="inlineStr">
        <is>
          <t>Fill in the yellow cells only. Results update automatically.</t>
        </is>
      </c>
    </row>
    <row r="5" ht="15" customHeight="1" s="15">
      <c r="B5" s="19" t="inlineStr">
        <is>
          <t>ቢጫ ቀለም ያላቸውን ሴሎች ብቻ ይሙሉ። ውጤቶቹ ራሳቸውን በራሳቸው ያሰላሉ።</t>
        </is>
      </c>
    </row>
    <row r="7" ht="15" customHeight="1" s="15">
      <c r="B7" s="20" t="inlineStr">
        <is>
          <t>CLIENT INPUTS</t>
        </is>
      </c>
      <c r="E7" s="20" t="inlineStr">
        <is>
          <t>REFERENCE TABLES</t>
        </is>
      </c>
    </row>
    <row r="8" ht="15" customHeight="1" s="15">
      <c r="B8" s="21" t="inlineStr">
        <is>
          <t>Client Name</t>
        </is>
      </c>
      <c r="C8" s="22" t="inlineStr">
        <is>
          <t>Client Name</t>
        </is>
      </c>
      <c r="E8" s="21" t="inlineStr">
        <is>
          <t>Activity Level</t>
        </is>
      </c>
      <c r="F8" s="21" t="inlineStr">
        <is>
          <t>Multiplier</t>
        </is>
      </c>
      <c r="G8" s="21" t="inlineStr">
        <is>
          <t>Primary Goal</t>
        </is>
      </c>
      <c r="H8" s="21" t="inlineStr">
        <is>
          <t>Adjustment</t>
        </is>
      </c>
    </row>
    <row r="9" ht="15" customHeight="1" s="15">
      <c r="B9" s="21" t="inlineStr">
        <is>
          <t>Gender</t>
        </is>
      </c>
      <c r="C9" s="22" t="inlineStr">
        <is>
          <t>Male</t>
        </is>
      </c>
      <c r="E9" s="23" t="inlineStr">
        <is>
          <t>Sedentary</t>
        </is>
      </c>
      <c r="F9" s="23" t="n">
        <v>1.2</v>
      </c>
      <c r="G9" s="23" t="inlineStr">
        <is>
          <t>Fat Loss</t>
        </is>
      </c>
      <c r="H9" s="24" t="n">
        <v>-0.2</v>
      </c>
    </row>
    <row r="10" ht="15" customHeight="1" s="15">
      <c r="B10" s="21" t="inlineStr">
        <is>
          <t>Age (years)</t>
        </is>
      </c>
      <c r="C10" s="25" t="n">
        <v>30</v>
      </c>
      <c r="E10" s="23" t="inlineStr">
        <is>
          <t>Lightly Active</t>
        </is>
      </c>
      <c r="F10" s="23" t="n">
        <v>1.375</v>
      </c>
      <c r="G10" s="23" t="inlineStr">
        <is>
          <t>Muscle Gain</t>
        </is>
      </c>
      <c r="H10" s="24" t="n">
        <v>0.15</v>
      </c>
    </row>
    <row r="11" ht="15" customHeight="1" s="15">
      <c r="B11" s="21" t="inlineStr">
        <is>
          <t>Height (cm)</t>
        </is>
      </c>
      <c r="C11" s="25" t="n">
        <v>175</v>
      </c>
      <c r="E11" s="23" t="inlineStr">
        <is>
          <t>Moderate</t>
        </is>
      </c>
      <c r="F11" s="23" t="n">
        <v>1.55</v>
      </c>
      <c r="G11" s="23" t="inlineStr">
        <is>
          <t>Maintenance</t>
        </is>
      </c>
      <c r="H11" s="24" t="n">
        <v>0</v>
      </c>
    </row>
    <row r="12" ht="15" customHeight="1" s="15">
      <c r="B12" s="21" t="inlineStr">
        <is>
          <t>Weight (kg)</t>
        </is>
      </c>
      <c r="C12" s="26" t="n">
        <v>70</v>
      </c>
      <c r="E12" s="23" t="inlineStr">
        <is>
          <t>Very Active</t>
        </is>
      </c>
      <c r="F12" s="23" t="n">
        <v>1.725</v>
      </c>
    </row>
    <row r="13" ht="15" customHeight="1" s="15">
      <c r="B13" s="21" t="inlineStr">
        <is>
          <t>Activity Level</t>
        </is>
      </c>
      <c r="C13" s="22" t="inlineStr">
        <is>
          <t>Moderate</t>
        </is>
      </c>
    </row>
    <row r="14" ht="15" customHeight="1" s="15">
      <c r="B14" s="21" t="inlineStr">
        <is>
          <t>Primary Goal</t>
        </is>
      </c>
      <c r="C14" s="22" t="inlineStr">
        <is>
          <t>Fat Loss</t>
        </is>
      </c>
    </row>
    <row r="16" ht="15" customHeight="1" s="15">
      <c r="B16" s="20" t="inlineStr">
        <is>
          <t>CALCULATED TARGETS</t>
        </is>
      </c>
    </row>
    <row r="17" ht="15" customHeight="1" s="15">
      <c r="B17" s="21" t="inlineStr">
        <is>
          <t>BMR (Mifflin-St Jeor)</t>
        </is>
      </c>
      <c r="C17" s="27">
        <f>IF(C9="Male", 10*C12+6.25*C11-5*C10+5, 10*C12+6.25*C11-5*C10-161)</f>
        <v/>
      </c>
    </row>
    <row r="18" ht="15" customHeight="1" s="15">
      <c r="B18" s="21" t="inlineStr">
        <is>
          <t>TDEE (Maintenance Calories)</t>
        </is>
      </c>
      <c r="C18" s="27">
        <f>C17*INDEX($F$9:$F$12,MATCH(C13,$E$9:$E$12,0))</f>
        <v/>
      </c>
    </row>
    <row r="19" ht="15" customHeight="1" s="15">
      <c r="B19" s="21" t="inlineStr">
        <is>
          <t>Goal-Adjusted Daily Calories</t>
        </is>
      </c>
      <c r="C19" s="28">
        <f>C18*(1+INDEX($H$9:$H$11,MATCH(C14,$G$9:$G$11,0)))</f>
        <v/>
      </c>
    </row>
    <row r="20" ht="15" customHeight="1" s="15">
      <c r="B20" s="21" t="inlineStr">
        <is>
          <t>Weekly Calorie Total</t>
        </is>
      </c>
      <c r="C20" s="27">
        <f>C19*7</f>
        <v/>
      </c>
    </row>
    <row r="21" ht="15" customHeight="1" s="15">
      <c r="B21" s="21" t="inlineStr">
        <is>
          <t>Protein Target (g)  — 2.0g/kg</t>
        </is>
      </c>
      <c r="C21" s="27">
        <f>C12*2</f>
        <v/>
      </c>
    </row>
    <row r="22" ht="15" customHeight="1" s="15">
      <c r="B22" s="21" t="inlineStr">
        <is>
          <t>Protein Calories</t>
        </is>
      </c>
      <c r="C22" s="27">
        <f>C21*4</f>
        <v/>
      </c>
    </row>
    <row r="23" ht="15" customHeight="1" s="15">
      <c r="B23" s="21" t="inlineStr">
        <is>
          <t>Fat Target (g)  — 25% of calories</t>
        </is>
      </c>
      <c r="C23" s="27">
        <f>(C19*0.25)/9</f>
        <v/>
      </c>
    </row>
    <row r="24" ht="15" customHeight="1" s="15">
      <c r="B24" s="21" t="inlineStr">
        <is>
          <t>Fat Calories</t>
        </is>
      </c>
      <c r="C24" s="27">
        <f>C23*9</f>
        <v/>
      </c>
    </row>
    <row r="25" ht="15" customHeight="1" s="15">
      <c r="B25" s="21" t="inlineStr">
        <is>
          <t>Carbohydrate Target (g)  — remainder</t>
        </is>
      </c>
      <c r="C25" s="28">
        <f>(C19-C22-C24)/4</f>
        <v/>
      </c>
    </row>
    <row r="26" ht="15" customHeight="1" s="15">
      <c r="B26" s="21" t="inlineStr">
        <is>
          <t>Daily Fluid Target (L)  — 0.05L/kg</t>
        </is>
      </c>
      <c r="C26" s="29">
        <f>C12*0.05</f>
        <v/>
      </c>
    </row>
    <row r="28" ht="15" customHeight="1" s="15">
      <c r="B28" s="21" t="inlineStr">
        <is>
          <t>% ENERGY SPLIT (for the blueprint doc)</t>
        </is>
      </c>
    </row>
    <row r="29" ht="15" customHeight="1" s="15">
      <c r="B29" s="21" t="inlineStr">
        <is>
          <t>Protein % of Energy</t>
        </is>
      </c>
      <c r="C29" s="30">
        <f>C22/C19</f>
        <v/>
      </c>
    </row>
    <row r="30" ht="15" customHeight="1" s="15">
      <c r="B30" s="21" t="inlineStr">
        <is>
          <t>Fat % of Energy</t>
        </is>
      </c>
      <c r="C30" s="30">
        <f>C24/C19</f>
        <v/>
      </c>
    </row>
    <row r="31" ht="15" customHeight="1" s="15">
      <c r="B31" s="21" t="inlineStr">
        <is>
          <t>Carb % of Energy</t>
        </is>
      </c>
      <c r="C31" s="30">
        <f>1-C29-C30</f>
        <v/>
      </c>
    </row>
    <row r="33" ht="15" customHeight="1" s="15">
      <c r="B33" s="19" t="inlineStr">
        <is>
          <t>Copy the bold values above directly into the Calorie &amp; Macro Targets table</t>
        </is>
      </c>
    </row>
    <row r="34" ht="15" customHeight="1" s="15">
      <c r="B34" s="19" t="inlineStr">
        <is>
          <t>in the 30-Day Nutrition Blueprint doc.</t>
        </is>
      </c>
    </row>
  </sheetData>
  <mergeCells count="2">
    <mergeCell ref="B3:C3"/>
    <mergeCell ref="B2:C2"/>
  </mergeCells>
  <dataValidations count="3">
    <dataValidation sqref="C9" showDropDown="0" showInputMessage="0" showErrorMessage="0" allowBlank="0" type="list" errorStyle="stop" operator="between">
      <formula1>"Male,Female"</formula1>
      <formula2>0</formula2>
    </dataValidation>
    <dataValidation sqref="C13" showDropDown="0" showInputMessage="0" showErrorMessage="0" allowBlank="0" type="list" errorStyle="stop" operator="between">
      <formula1>"Sedentary,Lightly Active,Moderate,Very Active"</formula1>
      <formula2>0</formula2>
    </dataValidation>
    <dataValidation sqref="C14" showDropDown="0" showInputMessage="0" showErrorMessage="0" allowBlank="0" type="list" errorStyle="stop" operator="between">
      <formula1>"Fat Loss,Muscle Gain,Maintenance"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2026-08-13T18:58:07Z</dcterms:created>
  <dcterms:modified xmlns:dcterms="http://purl.org/dc/terms/" xmlns:xsi="http://www.w3.org/2001/XMLSchema-instance" xsi:type="dcterms:W3CDTF">2026-08-16T10:15:15Z</dcterms:modified>
  <cp:revision>0</cp:revision>
</cp:coreProperties>
</file>